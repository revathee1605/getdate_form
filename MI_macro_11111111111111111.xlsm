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vathee Sabapathee\Desktop\"/>
    </mc:Choice>
  </mc:AlternateContent>
  <xr:revisionPtr revIDLastSave="0" documentId="8_{77120C24-6DB8-44C6-9F44-05D7ADB42343}" xr6:coauthVersionLast="45" xr6:coauthVersionMax="45" xr10:uidLastSave="{00000000-0000-0000-0000-000000000000}"/>
  <bookViews>
    <workbookView xWindow="15" yWindow="15" windowWidth="19170" windowHeight="10170" xr2:uid="{155F0ED3-C5CC-41C6-8316-9663F370EB01}"/>
  </bookViews>
  <sheets>
    <sheet name="Setup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5" i="1"/>
  <c r="G4" i="1"/>
  <c r="G3" i="1"/>
  <c r="G2" i="1"/>
  <c r="K5" i="1" s="1"/>
  <c r="H6" i="1" l="1"/>
  <c r="H5" i="1"/>
  <c r="K3" i="1" l="1"/>
  <c r="K2" i="1"/>
  <c r="K4" i="1"/>
  <c r="K6" i="1"/>
  <c r="C2" i="1"/>
  <c r="H4" i="1"/>
  <c r="H3" i="1"/>
  <c r="H2" i="1"/>
  <c r="C3" i="1"/>
</calcChain>
</file>

<file path=xl/sharedStrings.xml><?xml version="1.0" encoding="utf-8"?>
<sst xmlns="http://schemas.openxmlformats.org/spreadsheetml/2006/main" count="15" uniqueCount="15">
  <si>
    <t>Format date</t>
  </si>
  <si>
    <t>Filename</t>
  </si>
  <si>
    <t>Current month- 100% Provisioned List-MMMYY-FROM CENTRE</t>
  </si>
  <si>
    <t>Previous month - DRU Impairment for MMMYY  Workings</t>
  </si>
  <si>
    <t>Current month - i9_mauritius_File Formating Template-MMMYY</t>
  </si>
  <si>
    <t>Current month - MU_IFRS9_WD3_template MMM'YY</t>
  </si>
  <si>
    <t xml:space="preserve">Current month - MMMYY </t>
  </si>
  <si>
    <t xml:space="preserve">Current month - MMM'YY </t>
  </si>
  <si>
    <t>Current month - MMYYYY</t>
  </si>
  <si>
    <t>previous month - MMMYY</t>
  </si>
  <si>
    <t>Testing</t>
  </si>
  <si>
    <t>Current month - MU_MMMYY-Acct-level Impairment WORKINGS</t>
  </si>
  <si>
    <t xml:space="preserve">MMYYYY Folder </t>
  </si>
  <si>
    <t>OutputFiles to copy files</t>
  </si>
  <si>
    <t>Date from Impairment Input - YYYYMM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</si>
</sst>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2" fontId="0" fillId="0" borderId="0" xfId="0" applyNumberFormat="1"/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NumberFormat="1" applyFill="1"/>
    <xf numFmtId="0" fontId="0" fillId="0" borderId="0" xfId="0" applyNumberFormat="1"/>
    <xf numFmtId="0" fontId="0" fillId="0" borderId="0" xfId="0" applyFill="1"/>
    <xf numFmtId="0" fontId="0" fillId="4" borderId="0" xfId="0" applyFill="1" applyAlignment="1"/>
    <xf numFmtId="0" fontId="0" fillId="0" borderId="0" xfId="0" applyFill="1" applyAlignment="1"/>
    <xf numFmtId="14" fontId="0" fillId="0" borderId="0" xfId="0" applyNumberFormat="1" applyFill="1" applyAlignment="1"/>
    <xf numFmtId="0" fontId="0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2850092</xdr:colOff>
      <xdr:row>4</xdr:row>
      <xdr:rowOff>186267</xdr:rowOff>
    </xdr:from>
    <xdr:to>
      <xdr:col>2</xdr:col>
      <xdr:colOff>3894667</xdr:colOff>
      <xdr:row>6</xdr:row>
      <xdr:rowOff>81492</xdr:rowOff>
    </xdr:to>
    <xdr:sp macro="[0]!runMI_process" textlink="">
      <xdr:nvSpPr>
        <xdr:cNvPr id="2" name="TextBox 1">
          <a:extLst>
            <a:ext uri="{FF2B5EF4-FFF2-40B4-BE49-F238E27FC236}">
              <a16:creationId xmlns:a16="http://schemas.microsoft.com/office/drawing/2014/main" id="{F4B8B8BB-640C-4F3A-9EE7-924D092DAE67}"/>
            </a:ext>
          </a:extLst>
        </xdr:cNvPr>
        <xdr:cNvSpPr txBox="1"/>
      </xdr:nvSpPr>
      <xdr:spPr>
        <a:xfrm>
          <a:off x="7644342" y="948267"/>
          <a:ext cx="1044575" cy="2762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MI Button</a:t>
          </a:r>
          <a:endParaRPr lang="en-M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7D683-4E71-41CA-B32D-2FFE9524199F}">
  <sheetPr codeName="Sheet1"/>
  <dimension ref="B1:K25"/>
  <sheetViews>
    <sheetView tabSelected="1" topLeftCell="C1" zoomScale="80" zoomScaleNormal="80" workbookViewId="0">
      <selection activeCell="C14" sqref="C14"/>
    </sheetView>
  </sheetViews>
  <sheetFormatPr defaultRowHeight="15" x14ac:dyDescent="0.25"/>
  <cols>
    <col min="2" max="2" width="62.7109375" customWidth="1"/>
    <col min="3" max="3" width="149.85546875" style="2" customWidth="1"/>
    <col min="4" max="4" width="26.7109375" customWidth="1"/>
    <col min="6" max="6" width="35.5703125" customWidth="1"/>
    <col min="7" max="7" width="9.140625" style="10"/>
    <col min="10" max="10" width="68.28515625" customWidth="1"/>
    <col min="11" max="11" width="50.42578125" customWidth="1"/>
  </cols>
  <sheetData>
    <row r="1" spans="2:11" x14ac:dyDescent="0.25">
      <c r="F1" s="3" t="s">
        <v>0</v>
      </c>
      <c r="G1" s="9" t="s">
        <v>10</v>
      </c>
      <c r="J1" s="6" t="s">
        <v>1</v>
      </c>
      <c r="K1" s="6"/>
    </row>
    <row r="2" spans="2:11" x14ac:dyDescent="0.25">
      <c r="B2" s="3" t="s">
        <v>12</v>
      </c>
      <c r="C2" s="12" t="str">
        <f ca="1">(LEFT(CELL("filename",A1),SEARCH("[",CELL("filename",A1))-1))&amp;"MI"&amp;"\"&amp;G4&amp;"\"</f>
        <v>C:\Users\Revathee Sabapathee\Desktop\anglo african\PROJECT REVATHEE\absa\MI\developMI\MI\022020\</v>
      </c>
      <c r="F2" s="4" t="s">
        <v>6</v>
      </c>
      <c r="G2" s="11" t="str">
        <f ca="1">TEXT(EOMONTH(NOW(),-10),"MMMYY")</f>
        <v>Feb20</v>
      </c>
      <c r="H2" s="5" t="str">
        <f ca="1">TEXT(EOMONTH(NOW(),0),"MMMYY")</f>
        <v>Dec20</v>
      </c>
      <c r="J2" s="7" t="s">
        <v>2</v>
      </c>
      <c r="K2" s="8" t="str">
        <f ca="1">"100% Provisioned List-"&amp;G2&amp;"-FROM CENTRE"&amp;".xlsx"</f>
        <v>100% Provisioned List-Feb20-FROM CENTRE.xlsx</v>
      </c>
    </row>
    <row r="3" spans="2:11" x14ac:dyDescent="0.25">
      <c r="B3" s="3" t="s">
        <v>13</v>
      </c>
      <c r="C3" s="12" t="str">
        <f ca="1">(LEFT(CELL("filename",A2),SEARCH("[",CELL("filename",A2))-1))&amp;"MI files"&amp;"\"</f>
        <v>C:\Users\Revathee Sabapathee\Desktop\anglo african\PROJECT REVATHEE\absa\MI\developMI\MI files\</v>
      </c>
      <c r="F3" s="4" t="s">
        <v>7</v>
      </c>
      <c r="G3" s="11" t="str">
        <f ca="1">TEXT(EOMONTH(NOW(),-10),"MMM'YY")</f>
        <v>Feb'20</v>
      </c>
      <c r="H3" s="5" t="str">
        <f ca="1">TEXT(EOMONTH(NOW(),0),"MMM'YY")</f>
        <v>Dec'20</v>
      </c>
      <c r="J3" s="7" t="s">
        <v>3</v>
      </c>
      <c r="K3" s="8" t="str">
        <f ca="1">"DRU Impairment for "&amp;G5&amp;"  Workings"&amp;".xls"</f>
        <v>DRU Impairment for Jan20  Workings.xls</v>
      </c>
    </row>
    <row r="4" spans="2:11" x14ac:dyDescent="0.25">
      <c r="F4" s="4" t="s">
        <v>8</v>
      </c>
      <c r="G4" s="11" t="str">
        <f ca="1">TEXT(EOMONTH(NOW(),-10),"MMYYYY")</f>
        <v>022020</v>
      </c>
      <c r="H4" s="5" t="str">
        <f ca="1">TEXT(EOMONTH(NOW(),0),"MMYYYY")</f>
        <v>122020</v>
      </c>
      <c r="J4" s="7" t="s">
        <v>4</v>
      </c>
      <c r="K4" s="8" t="str">
        <f ca="1">"i9_mauritius_File Formating Template-"&amp;G2&amp;".xlsx"</f>
        <v>i9_mauritius_File Formating Template-Feb20.xlsx</v>
      </c>
    </row>
    <row r="5" spans="2:11" x14ac:dyDescent="0.25">
      <c r="F5" s="4" t="s">
        <v>9</v>
      </c>
      <c r="G5" s="11" t="str">
        <f ca="1">TEXT(EOMONTH(NOW(),-11),"MMMYY")</f>
        <v>Jan20</v>
      </c>
      <c r="H5" s="5" t="str">
        <f ca="1">TEXT(EOMONTH(NOW(),-1),"MMMYY")</f>
        <v>Nov20</v>
      </c>
      <c r="J5" s="7" t="s">
        <v>11</v>
      </c>
      <c r="K5" s="8" t="str">
        <f ca="1">"MU_"&amp;G2&amp;"-Acct-level Impairment WORKINGS"&amp;".xlsx"</f>
        <v>MU_Feb20-Acct-level Impairment WORKINGS.xlsx</v>
      </c>
    </row>
    <row r="6" spans="2:11" x14ac:dyDescent="0.25">
      <c r="F6" s="4" t="s">
        <v>14</v>
      </c>
      <c r="G6" s="11" t="str">
        <f ca="1">TEXT(EOMONTH(NOW(),-10),"YYYYMM")</f>
        <v>202002</v>
      </c>
      <c r="H6" s="5" t="str">
        <f ca="1">TEXT(EOMONTH(NOW(),-1),"YYYYMM")</f>
        <v>202011</v>
      </c>
      <c r="J6" s="7" t="s">
        <v>5</v>
      </c>
      <c r="K6" s="8" t="str">
        <f ca="1">"MU_IFRS9_WD3_template "&amp;G3&amp;".xlsb"</f>
        <v>MU_IFRS9_WD3_template Feb'20.xlsb</v>
      </c>
    </row>
    <row r="8" spans="2:11" x14ac:dyDescent="0.25">
      <c r="B8" s="11"/>
      <c r="C8" s="13"/>
    </row>
    <row r="9" spans="2:11" x14ac:dyDescent="0.25">
      <c r="B9" s="11"/>
      <c r="C9" s="13"/>
    </row>
    <row r="10" spans="2:11" x14ac:dyDescent="0.25">
      <c r="B10" s="11"/>
      <c r="C10" s="13"/>
    </row>
    <row r="11" spans="2:11" x14ac:dyDescent="0.25">
      <c r="B11" s="11"/>
      <c r="C11" s="13"/>
    </row>
    <row r="12" spans="2:11" x14ac:dyDescent="0.25">
      <c r="B12" s="11"/>
      <c r="C12" s="13"/>
    </row>
    <row r="13" spans="2:11" x14ac:dyDescent="0.25">
      <c r="B13" s="11"/>
      <c r="C13" s="14"/>
      <c r="D13" s="1"/>
    </row>
    <row r="14" spans="2:11" x14ac:dyDescent="0.25">
      <c r="B14" s="11"/>
      <c r="C14" s="13"/>
    </row>
    <row r="15" spans="2:11" x14ac:dyDescent="0.25">
      <c r="B15" s="11"/>
      <c r="C15" s="13"/>
    </row>
    <row r="16" spans="2:11" x14ac:dyDescent="0.25">
      <c r="B16" s="11"/>
      <c r="C16" s="13"/>
    </row>
    <row r="17" spans="2:3" x14ac:dyDescent="0.25">
      <c r="B17" s="11"/>
      <c r="C17" s="13"/>
    </row>
    <row r="18" spans="2:3" x14ac:dyDescent="0.25">
      <c r="B18" s="15"/>
      <c r="C18" s="13"/>
    </row>
    <row r="19" spans="2:3" x14ac:dyDescent="0.25">
      <c r="B19" s="15"/>
      <c r="C19" s="13"/>
    </row>
    <row r="20" spans="2:3" x14ac:dyDescent="0.25">
      <c r="B20" s="15"/>
      <c r="C20" s="13"/>
    </row>
    <row r="21" spans="2:3" x14ac:dyDescent="0.25">
      <c r="B21" s="15"/>
      <c r="C21" s="13"/>
    </row>
    <row r="22" spans="2:3" x14ac:dyDescent="0.25">
      <c r="B22" s="15"/>
      <c r="C22" s="13"/>
    </row>
    <row r="23" spans="2:3" x14ac:dyDescent="0.25">
      <c r="B23" s="11"/>
      <c r="C23" s="13"/>
    </row>
    <row r="24" spans="2:3" x14ac:dyDescent="0.25">
      <c r="B24" s="11"/>
      <c r="C24" s="13"/>
    </row>
    <row r="25" spans="2:3" x14ac:dyDescent="0.25">
      <c r="B25" s="11"/>
      <c r="C25" s="13"/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Revathee Sabapathee</dc:creator>
  <cp:lastModifiedBy>Revathee Sabapathee</cp:lastModifiedBy>
  <dcterms:created xsi:type="dcterms:W3CDTF">2020-08-31T09:58:57Z</dcterms:created>
  <dcterms:modified xsi:type="dcterms:W3CDTF">2020-12-17T08:07:34Z</dcterms:modified>
</cp:coreProperties>
</file>